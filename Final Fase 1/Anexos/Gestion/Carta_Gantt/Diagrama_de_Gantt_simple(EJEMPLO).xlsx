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filterPrivacy="1" codeName="ThisWorkbook"/>
  <xr:revisionPtr revIDLastSave="0" documentId="13_ncr:1_{54A391A5-BF47-4FA4-88C7-62FEB8C9D57E}" xr6:coauthVersionLast="47" xr6:coauthVersionMax="47" xr10:uidLastSave="{00000000-0000-0000-0000-000000000000}"/>
  <bookViews>
    <workbookView xWindow="-120" yWindow="-120" windowWidth="29040" windowHeight="15840"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E3" i="11" l="1"/>
  <c r="E8" i="11" s="1"/>
  <c r="E20" i="11" s="1"/>
  <c r="F20" i="11" s="1"/>
  <c r="E21" i="11" s="1"/>
  <c r="F21" i="11" l="1"/>
  <c r="G21" i="11" s="1"/>
  <c r="E22" i="11"/>
  <c r="F8" i="11"/>
  <c r="E9" i="11" s="1"/>
  <c r="H5" i="11"/>
  <c r="G32" i="11"/>
  <c r="G31" i="11"/>
  <c r="G30" i="11"/>
  <c r="G29" i="11"/>
  <c r="G28" i="11"/>
  <c r="G27" i="11"/>
  <c r="G25" i="11"/>
  <c r="G20" i="11"/>
  <c r="G19" i="11"/>
  <c r="G13" i="11"/>
  <c r="G7" i="11"/>
  <c r="G8" i="11" l="1"/>
  <c r="F22" i="11"/>
  <c r="E24" i="11"/>
  <c r="F9" i="11"/>
  <c r="E10" i="11" s="1"/>
  <c r="E12" i="11"/>
  <c r="E14" i="11" s="1"/>
  <c r="E15" i="11" s="1"/>
  <c r="H6" i="11"/>
  <c r="G26" i="11" l="1"/>
  <c r="F24" i="11"/>
  <c r="G24" i="11" s="1"/>
  <c r="E23" i="11"/>
  <c r="F15" i="11"/>
  <c r="G9" i="11" s="1"/>
  <c r="F14" i="11"/>
  <c r="G14" i="11" s="1"/>
  <c r="F12" i="11"/>
  <c r="G12" i="11" s="1"/>
  <c r="F10" i="11"/>
  <c r="E11" i="11" s="1"/>
  <c r="I5" i="11"/>
  <c r="J5" i="11" s="1"/>
  <c r="K5" i="11" s="1"/>
  <c r="L5" i="11" s="1"/>
  <c r="M5" i="11" s="1"/>
  <c r="N5" i="11" s="1"/>
  <c r="O5" i="11" s="1"/>
  <c r="H4" i="11"/>
  <c r="G22" i="11" l="1"/>
  <c r="F23" i="11"/>
  <c r="G23" i="11" s="1"/>
  <c r="G15" i="11"/>
  <c r="E16" i="11"/>
  <c r="E17" i="11" s="1"/>
  <c r="E18" i="11" s="1"/>
  <c r="G10" i="11"/>
  <c r="F11" i="11"/>
  <c r="G11" i="11" s="1"/>
  <c r="O4" i="11"/>
  <c r="P5" i="11"/>
  <c r="Q5" i="11" s="1"/>
  <c r="R5" i="11" s="1"/>
  <c r="S5" i="11" s="1"/>
  <c r="T5" i="11" s="1"/>
  <c r="U5" i="11" s="1"/>
  <c r="V5" i="11" s="1"/>
  <c r="I6" i="11"/>
  <c r="F18" i="11" l="1"/>
  <c r="G18" i="11" s="1"/>
  <c r="F17" i="11"/>
  <c r="G17" i="11" s="1"/>
  <c r="F16" i="11"/>
  <c r="G16" i="11" s="1"/>
  <c r="V4" i="1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AY5" i="11" l="1"/>
  <c r="AX4" i="11"/>
  <c r="R6" i="11" s="1"/>
  <c r="AW6" i="11"/>
  <c r="S6" i="11"/>
  <c r="AX6" i="11" l="1"/>
  <c r="AZ5" i="11"/>
  <c r="AY6" i="11"/>
  <c r="T6" i="11"/>
  <c r="AZ6" i="11" l="1"/>
  <c r="BA5" i="11"/>
  <c r="U6" i="11"/>
  <c r="BA6" i="11" l="1"/>
  <c r="BB5" i="11"/>
  <c r="V6" i="11"/>
  <c r="BB6" i="11" l="1"/>
  <c r="BC5" i="11"/>
  <c r="W6" i="11"/>
  <c r="BD5" i="11" l="1"/>
  <c r="BC6" i="11"/>
  <c r="X6" i="11"/>
  <c r="BD6" i="11" l="1"/>
  <c r="BE5" i="11"/>
  <c r="BE6" i="11" l="1"/>
  <c r="BF5" i="11"/>
  <c r="BE4" i="11"/>
  <c r="Y6" i="11" s="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sharedStrings.xml><?xml version="1.0" encoding="utf-8"?>
<sst xmlns="http://schemas.openxmlformats.org/spreadsheetml/2006/main" count="79" uniqueCount="52">
  <si>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</si>
  <si>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</si>
  <si>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</si>
  <si>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</si>
  <si>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</si>
  <si>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</si>
  <si>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</si>
  <si>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</si>
  <si>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</si>
  <si>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</si>
  <si>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</si>
  <si>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</si>
  <si>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</si>
  <si>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TÍTULO DEL PROYECTO</t>
  </si>
  <si>
    <t>Nombre de la compañía</t>
  </si>
  <si>
    <t>Responsable del proyecto</t>
  </si>
  <si>
    <t>TAREA</t>
  </si>
  <si>
    <t>Título de la fase 1</t>
  </si>
  <si>
    <t>Tarea 1</t>
  </si>
  <si>
    <t>Tarea 2</t>
  </si>
  <si>
    <t>Tarea 3</t>
  </si>
  <si>
    <t>Tarea 4</t>
  </si>
  <si>
    <t>Tarea 5</t>
  </si>
  <si>
    <t>Título de la fase 2</t>
  </si>
  <si>
    <t>Título de la fase 3</t>
  </si>
  <si>
    <t>Título de la fase 4</t>
  </si>
  <si>
    <t>Inserte nuevas filas ENCIMA de ésta</t>
  </si>
  <si>
    <t>Inicio del proyecto:</t>
  </si>
  <si>
    <t>Semana para mostrar:</t>
  </si>
  <si>
    <t>ASIGNADO
A</t>
  </si>
  <si>
    <t>Nombre</t>
  </si>
  <si>
    <t>PROGRESO</t>
  </si>
  <si>
    <t>INICIO</t>
  </si>
  <si>
    <t>fecha</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</si>
  <si>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</si>
  <si>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</si>
  <si>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</si>
  <si>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</si>
  <si>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</si>
  <si>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</si>
  <si>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</si>
  <si>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</si>
  <si>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</si>
  <si>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</si>
  <si>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</si>
  <si>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</si>
  <si>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</si>
  <si>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</si>
  <si>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</si>
  <si>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</si>
  <si>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</si>
  <si>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Observación: Modificar fechas para automatizar las casillas de colores y las fechas de las siguientes tareas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</si>
</sst>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7"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8" fontId="9" fillId="0" borderId="3">
      <alignment horizontal="center" vertical="center"/>
    </xf>
    <xf numFmtId="170"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70" fontId="0" fillId="8" borderId="2" xfId="0" applyNumberFormat="1" applyFill="1" applyBorder="1" applyAlignment="1">
      <alignment horizontal="center" vertical="center"/>
    </xf>
    <xf numFmtId="170" fontId="5" fillId="8" borderId="2" xfId="0" applyNumberFormat="1" applyFont="1" applyFill="1" applyBorder="1" applyAlignment="1">
      <alignment horizontal="center" vertical="center"/>
    </xf>
    <xf numFmtId="170" fontId="0" fillId="9" borderId="2" xfId="0" applyNumberFormat="1" applyFill="1" applyBorder="1" applyAlignment="1">
      <alignment horizontal="center" vertical="center"/>
    </xf>
    <xf numFmtId="170" fontId="5" fillId="9" borderId="2" xfId="0" applyNumberFormat="1" applyFont="1" applyFill="1" applyBorder="1" applyAlignment="1">
      <alignment horizontal="center" vertical="center"/>
    </xf>
    <xf numFmtId="170" fontId="0" fillId="6" borderId="2" xfId="0" applyNumberFormat="1" applyFill="1" applyBorder="1" applyAlignment="1">
      <alignment horizontal="center" vertical="center"/>
    </xf>
    <xf numFmtId="170" fontId="5" fillId="6" borderId="2" xfId="0" applyNumberFormat="1" applyFont="1" applyFill="1" applyBorder="1" applyAlignment="1">
      <alignment horizontal="center" vertical="center"/>
    </xf>
    <xf numFmtId="170" fontId="9" fillId="11" borderId="2" xfId="10" applyFill="1">
      <alignment horizontal="center" vertical="center"/>
    </xf>
    <xf numFmtId="170" fontId="0" fillId="5" borderId="2" xfId="0" applyNumberFormat="1" applyFill="1" applyBorder="1" applyAlignment="1">
      <alignment horizontal="center" vertical="center"/>
    </xf>
    <xf numFmtId="170" fontId="5" fillId="5" borderId="2" xfId="0" applyNumberFormat="1" applyFont="1" applyFill="1" applyBorder="1" applyAlignment="1">
      <alignment horizontal="center" vertical="center"/>
    </xf>
    <xf numFmtId="170" fontId="4" fillId="2" borderId="2" xfId="0" applyNumberFormat="1" applyFont="1" applyFill="1" applyBorder="1" applyAlignment="1">
      <alignment horizontal="left" vertical="center"/>
    </xf>
    <xf numFmtId="170" fontId="5" fillId="2" borderId="2" xfId="0" applyNumberFormat="1" applyFont="1" applyFill="1" applyBorder="1" applyAlignment="1">
      <alignment horizontal="center" vertical="center"/>
    </xf>
    <xf numFmtId="171" fontId="11" fillId="7" borderId="6" xfId="0" applyNumberFormat="1" applyFont="1" applyFill="1" applyBorder="1" applyAlignment="1">
      <alignment horizontal="center" vertical="center"/>
    </xf>
    <xf numFmtId="171" fontId="11" fillId="7" borderId="0" xfId="0" applyNumberFormat="1" applyFont="1" applyFill="1" applyAlignment="1">
      <alignment horizontal="center" vertical="center"/>
    </xf>
    <xf numFmtId="171" fontId="11" fillId="7" borderId="7" xfId="0" applyNumberFormat="1" applyFont="1" applyFill="1" applyBorder="1" applyAlignment="1">
      <alignment horizontal="center" vertical="center"/>
    </xf>
    <xf numFmtId="170" fontId="9" fillId="3" borderId="2" xfId="10" applyFill="1">
      <alignment horizontal="center" vertical="center"/>
    </xf>
    <xf numFmtId="170" fontId="9" fillId="4" borderId="2" xfId="10" applyFill="1">
      <alignment horizontal="center" vertical="center"/>
    </xf>
    <xf numFmtId="170" fontId="9" fillId="10" borderId="2" xfId="10" applyFill="1">
      <alignment horizontal="center" vertical="center"/>
    </xf>
    <xf numFmtId="170" fontId="9" fillId="0" borderId="2" xfId="10">
      <alignment horizontal="center" vertical="center"/>
    </xf>
    <xf numFmtId="168" fontId="9" fillId="0" borderId="3" xfId="9">
      <alignment horizontal="center" vertical="center"/>
    </xf>
    <xf numFmtId="0" fontId="9" fillId="0" borderId="0" xfId="8">
      <alignment horizontal="right" indent="1"/>
    </xf>
    <xf numFmtId="0" fontId="9" fillId="0" borderId="7" xfId="8" applyBorder="1">
      <alignment horizontal="right" indent="1"/>
    </xf>
    <xf numFmtId="169" fontId="0" fillId="7" borderId="4" xfId="0" applyNumberFormat="1" applyFill="1" applyBorder="1" applyAlignment="1">
      <alignment horizontal="center" vertical="center" wrapText="1"/>
    </xf>
    <xf numFmtId="169" fontId="0" fillId="7" borderId="1" xfId="0" applyNumberFormat="1" applyFill="1" applyBorder="1" applyAlignment="1">
      <alignment horizontal="center" vertical="center" wrapText="1"/>
    </xf>
    <xf numFmtId="169" fontId="0" fillId="7" borderId="5" xfId="0" applyNumberFormat="1" applyFill="1" applyBorder="1" applyAlignment="1">
      <alignment horizontal="center" vertical="center" wrapText="1"/>
    </xf>
    <xf numFmtId="0" fontId="0" fillId="45" borderId="0" xfId="0" applyFill="1" applyAlignment="1">
      <alignment horizont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35"/>
  <sheetViews>
    <sheetView showGridLines="0" tabSelected="1" showRuler="0" zoomScaleNormal="100" zoomScalePageLayoutView="70" workbookViewId="0">
      <pane ySplit="6" topLeftCell="A7" activePane="bottomLeft" state="frozen"/>
      <selection pane="bottomLeft" activeCell="V3" sqref="V3"/>
    </sheetView>
  </sheetViews>
  <sheetFormatPr baseColWidth="10" defaultColWidth="9.140625" defaultRowHeight="30" customHeight="1" x14ac:dyDescent="0.25"/>
  <cols>
    <col min="1" max="1" width="2.7109375" style="44" customWidth="1"/>
    <col min="2" max="2" width="29.42578125" customWidth="1"/>
    <col min="3" max="3" width="30.7109375" customWidth="1"/>
    <col min="4" max="4" width="10.7109375" customWidth="1"/>
    <col min="5" max="5" width="10.42578125" style="5" customWidth="1"/>
    <col min="6" max="6" width="10.42578125" customWidth="1"/>
    <col min="7" max="7" width="5.42578125" customWidth="1"/>
    <col min="8" max="63" width="3.28515625" customWidth="1"/>
    <col min="68" max="69" width="10.28515625"/>
  </cols>
  <sheetData>
    <row r="1" spans="1:63" ht="30" customHeight="1" x14ac:dyDescent="0.45">
      <c r="A1" s="45" t="s">
        <v>0</v>
      </c>
      <c r="B1" s="47" t="s">
        <v>13</v>
      </c>
      <c r="C1" s="1"/>
      <c r="D1" s="2"/>
      <c r="E1" s="4"/>
      <c r="F1" s="33"/>
      <c r="G1" s="2"/>
      <c r="H1" s="65" t="s">
        <v>36</v>
      </c>
      <c r="AB1" s="92" t="s">
        <v>51</v>
      </c>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row>
    <row r="2" spans="1:63" ht="30" customHeight="1" x14ac:dyDescent="0.3">
      <c r="A2" s="44" t="s">
        <v>1</v>
      </c>
      <c r="B2" s="48" t="s">
        <v>14</v>
      </c>
      <c r="H2" s="66" t="s">
        <v>37</v>
      </c>
    </row>
    <row r="3" spans="1:63" ht="30" customHeight="1" x14ac:dyDescent="0.25">
      <c r="A3" s="44" t="s">
        <v>2</v>
      </c>
      <c r="B3" s="49" t="s">
        <v>15</v>
      </c>
      <c r="C3" s="87" t="s">
        <v>27</v>
      </c>
      <c r="D3" s="88"/>
      <c r="E3" s="86">
        <f ca="1">TODAY()</f>
        <v>44845</v>
      </c>
      <c r="F3" s="86"/>
    </row>
    <row r="4" spans="1:63" ht="30" customHeight="1" x14ac:dyDescent="0.25">
      <c r="A4" s="45" t="s">
        <v>3</v>
      </c>
      <c r="C4" s="87" t="s">
        <v>28</v>
      </c>
      <c r="D4" s="88"/>
      <c r="E4" s="6">
        <v>1</v>
      </c>
      <c r="H4" s="89">
        <f ca="1">H5</f>
        <v>44844</v>
      </c>
      <c r="I4" s="90"/>
      <c r="J4" s="90"/>
      <c r="K4" s="90"/>
      <c r="L4" s="90"/>
      <c r="M4" s="90"/>
      <c r="N4" s="91"/>
      <c r="O4" s="89">
        <f ca="1">O5</f>
        <v>44851</v>
      </c>
      <c r="P4" s="90"/>
      <c r="Q4" s="90"/>
      <c r="R4" s="90"/>
      <c r="S4" s="90"/>
      <c r="T4" s="90"/>
      <c r="U4" s="91"/>
      <c r="V4" s="89">
        <f ca="1">V5</f>
        <v>44858</v>
      </c>
      <c r="W4" s="90"/>
      <c r="X4" s="90"/>
      <c r="Y4" s="90"/>
      <c r="Z4" s="90"/>
      <c r="AA4" s="90"/>
      <c r="AB4" s="91"/>
      <c r="AC4" s="89">
        <f ca="1">AC5</f>
        <v>44865</v>
      </c>
      <c r="AD4" s="90"/>
      <c r="AE4" s="90"/>
      <c r="AF4" s="90"/>
      <c r="AG4" s="90"/>
      <c r="AH4" s="90"/>
      <c r="AI4" s="91"/>
      <c r="AJ4" s="89">
        <f ca="1">AJ5</f>
        <v>44872</v>
      </c>
      <c r="AK4" s="90"/>
      <c r="AL4" s="90"/>
      <c r="AM4" s="90"/>
      <c r="AN4" s="90"/>
      <c r="AO4" s="90"/>
      <c r="AP4" s="91"/>
      <c r="AQ4" s="89">
        <f ca="1">AQ5</f>
        <v>44879</v>
      </c>
      <c r="AR4" s="90"/>
      <c r="AS4" s="90"/>
      <c r="AT4" s="90"/>
      <c r="AU4" s="90"/>
      <c r="AV4" s="90"/>
      <c r="AW4" s="91"/>
      <c r="AX4" s="89">
        <f ca="1">AX5</f>
        <v>44886</v>
      </c>
      <c r="AY4" s="90"/>
      <c r="AZ4" s="90"/>
      <c r="BA4" s="90"/>
      <c r="BB4" s="90"/>
      <c r="BC4" s="90"/>
      <c r="BD4" s="91"/>
      <c r="BE4" s="89">
        <f ca="1">BE5</f>
        <v>44893</v>
      </c>
      <c r="BF4" s="90"/>
      <c r="BG4" s="90"/>
      <c r="BH4" s="90"/>
      <c r="BI4" s="90"/>
      <c r="BJ4" s="90"/>
      <c r="BK4" s="91"/>
    </row>
    <row r="5" spans="1:63" ht="15" customHeight="1" x14ac:dyDescent="0.25">
      <c r="A5" s="45" t="s">
        <v>4</v>
      </c>
      <c r="B5" s="64"/>
      <c r="C5" s="64"/>
      <c r="D5" s="64"/>
      <c r="E5" s="64"/>
      <c r="F5" s="64"/>
      <c r="H5" s="79">
        <f ca="1">Inicio_del_proyecto-WEEKDAY(Inicio_del_proyecto,1)+2+7*(Semana_para_mostrar-1)</f>
        <v>44844</v>
      </c>
      <c r="I5" s="80">
        <f ca="1">H5+1</f>
        <v>44845</v>
      </c>
      <c r="J5" s="80">
        <f t="shared" ref="J5:AW5" ca="1" si="0">I5+1</f>
        <v>44846</v>
      </c>
      <c r="K5" s="80">
        <f t="shared" ca="1" si="0"/>
        <v>44847</v>
      </c>
      <c r="L5" s="80">
        <f t="shared" ca="1" si="0"/>
        <v>44848</v>
      </c>
      <c r="M5" s="80">
        <f t="shared" ca="1" si="0"/>
        <v>44849</v>
      </c>
      <c r="N5" s="81">
        <f t="shared" ca="1" si="0"/>
        <v>44850</v>
      </c>
      <c r="O5" s="79">
        <f ca="1">N5+1</f>
        <v>44851</v>
      </c>
      <c r="P5" s="80">
        <f ca="1">O5+1</f>
        <v>44852</v>
      </c>
      <c r="Q5" s="80">
        <f t="shared" ca="1" si="0"/>
        <v>44853</v>
      </c>
      <c r="R5" s="80">
        <f t="shared" ca="1" si="0"/>
        <v>44854</v>
      </c>
      <c r="S5" s="80">
        <f t="shared" ca="1" si="0"/>
        <v>44855</v>
      </c>
      <c r="T5" s="80">
        <f t="shared" ca="1" si="0"/>
        <v>44856</v>
      </c>
      <c r="U5" s="81">
        <f t="shared" ca="1" si="0"/>
        <v>44857</v>
      </c>
      <c r="V5" s="79">
        <f ca="1">U5+1</f>
        <v>44858</v>
      </c>
      <c r="W5" s="80">
        <f ca="1">V5+1</f>
        <v>44859</v>
      </c>
      <c r="X5" s="80">
        <f t="shared" ca="1" si="0"/>
        <v>44860</v>
      </c>
      <c r="Y5" s="80">
        <f t="shared" ca="1" si="0"/>
        <v>44861</v>
      </c>
      <c r="Z5" s="80">
        <f t="shared" ca="1" si="0"/>
        <v>44862</v>
      </c>
      <c r="AA5" s="80">
        <f t="shared" ca="1" si="0"/>
        <v>44863</v>
      </c>
      <c r="AB5" s="81">
        <f t="shared" ca="1" si="0"/>
        <v>44864</v>
      </c>
      <c r="AC5" s="79">
        <f ca="1">AB5+1</f>
        <v>44865</v>
      </c>
      <c r="AD5" s="80">
        <f ca="1">AC5+1</f>
        <v>44866</v>
      </c>
      <c r="AE5" s="80">
        <f t="shared" ca="1" si="0"/>
        <v>44867</v>
      </c>
      <c r="AF5" s="80">
        <f t="shared" ca="1" si="0"/>
        <v>44868</v>
      </c>
      <c r="AG5" s="80">
        <f t="shared" ca="1" si="0"/>
        <v>44869</v>
      </c>
      <c r="AH5" s="80">
        <f t="shared" ca="1" si="0"/>
        <v>44870</v>
      </c>
      <c r="AI5" s="81">
        <f t="shared" ca="1" si="0"/>
        <v>44871</v>
      </c>
      <c r="AJ5" s="79">
        <f ca="1">AI5+1</f>
        <v>44872</v>
      </c>
      <c r="AK5" s="80">
        <f ca="1">AJ5+1</f>
        <v>44873</v>
      </c>
      <c r="AL5" s="80">
        <f t="shared" ca="1" si="0"/>
        <v>44874</v>
      </c>
      <c r="AM5" s="80">
        <f t="shared" ca="1" si="0"/>
        <v>44875</v>
      </c>
      <c r="AN5" s="80">
        <f t="shared" ca="1" si="0"/>
        <v>44876</v>
      </c>
      <c r="AO5" s="80">
        <f t="shared" ca="1" si="0"/>
        <v>44877</v>
      </c>
      <c r="AP5" s="81">
        <f t="shared" ca="1" si="0"/>
        <v>44878</v>
      </c>
      <c r="AQ5" s="79">
        <f ca="1">AP5+1</f>
        <v>44879</v>
      </c>
      <c r="AR5" s="80">
        <f ca="1">AQ5+1</f>
        <v>44880</v>
      </c>
      <c r="AS5" s="80">
        <f t="shared" ca="1" si="0"/>
        <v>44881</v>
      </c>
      <c r="AT5" s="80">
        <f t="shared" ca="1" si="0"/>
        <v>44882</v>
      </c>
      <c r="AU5" s="80">
        <f t="shared" ca="1" si="0"/>
        <v>44883</v>
      </c>
      <c r="AV5" s="80">
        <f t="shared" ca="1" si="0"/>
        <v>44884</v>
      </c>
      <c r="AW5" s="81">
        <f t="shared" ca="1" si="0"/>
        <v>44885</v>
      </c>
      <c r="AX5" s="79">
        <f ca="1">AW5+1</f>
        <v>44886</v>
      </c>
      <c r="AY5" s="80">
        <f ca="1">AX5+1</f>
        <v>44887</v>
      </c>
      <c r="AZ5" s="80">
        <f t="shared" ref="AZ5:BD5" ca="1" si="1">AY5+1</f>
        <v>44888</v>
      </c>
      <c r="BA5" s="80">
        <f t="shared" ca="1" si="1"/>
        <v>44889</v>
      </c>
      <c r="BB5" s="80">
        <f t="shared" ca="1" si="1"/>
        <v>44890</v>
      </c>
      <c r="BC5" s="80">
        <f t="shared" ca="1" si="1"/>
        <v>44891</v>
      </c>
      <c r="BD5" s="81">
        <f t="shared" ca="1" si="1"/>
        <v>44892</v>
      </c>
      <c r="BE5" s="79">
        <f ca="1">BD5+1</f>
        <v>44893</v>
      </c>
      <c r="BF5" s="80">
        <f ca="1">BE5+1</f>
        <v>44894</v>
      </c>
      <c r="BG5" s="80">
        <f t="shared" ref="BG5:BK5" ca="1" si="2">BF5+1</f>
        <v>44895</v>
      </c>
      <c r="BH5" s="80">
        <f t="shared" ca="1" si="2"/>
        <v>44896</v>
      </c>
      <c r="BI5" s="80">
        <f t="shared" ca="1" si="2"/>
        <v>44897</v>
      </c>
      <c r="BJ5" s="80">
        <f t="shared" ca="1" si="2"/>
        <v>44898</v>
      </c>
      <c r="BK5" s="81">
        <f t="shared" ca="1" si="2"/>
        <v>44899</v>
      </c>
    </row>
    <row r="6" spans="1:63" ht="30" customHeight="1" thickBot="1" x14ac:dyDescent="0.3">
      <c r="A6" s="45" t="s">
        <v>5</v>
      </c>
      <c r="B6" s="7" t="s">
        <v>16</v>
      </c>
      <c r="C6" s="8" t="s">
        <v>29</v>
      </c>
      <c r="D6" s="8" t="s">
        <v>31</v>
      </c>
      <c r="E6" s="8" t="s">
        <v>32</v>
      </c>
      <c r="F6" s="8" t="s">
        <v>34</v>
      </c>
      <c r="G6" s="8" t="s">
        <v>35</v>
      </c>
      <c r="H6" s="9" t="str">
        <f t="shared" ref="H6" ca="1" si="3">LEFT(TEXT(H5,"ddd"),1)</f>
        <v>l</v>
      </c>
      <c r="I6" s="9" t="str">
        <f t="shared" ref="I6:AQ6" ca="1" si="4">LEFT(TEXT(I5,"ddd"),1)</f>
        <v>m</v>
      </c>
      <c r="J6" s="9" t="str">
        <f t="shared" ca="1" si="4"/>
        <v>m</v>
      </c>
      <c r="K6" s="9" t="str">
        <f t="shared" ca="1" si="4"/>
        <v>j</v>
      </c>
      <c r="L6" s="9" t="str">
        <f t="shared" ca="1" si="4"/>
        <v>v</v>
      </c>
      <c r="M6" s="9" t="str">
        <f t="shared" ca="1" si="4"/>
        <v>s</v>
      </c>
      <c r="N6" s="9" t="str">
        <f t="shared" ca="1" si="4"/>
        <v>d</v>
      </c>
      <c r="O6" s="9" t="str">
        <f t="shared" ca="1" si="4"/>
        <v>l</v>
      </c>
      <c r="P6" s="9" t="str">
        <f t="shared" ca="1" si="4"/>
        <v>m</v>
      </c>
      <c r="Q6" s="9" t="str">
        <f t="shared" ca="1" si="4"/>
        <v>m</v>
      </c>
      <c r="R6" s="9" t="str">
        <f t="shared" ca="1" si="4"/>
        <v>j</v>
      </c>
      <c r="S6" s="9" t="str">
        <f t="shared" ca="1" si="4"/>
        <v>v</v>
      </c>
      <c r="T6" s="9" t="str">
        <f t="shared" ca="1" si="4"/>
        <v>s</v>
      </c>
      <c r="U6" s="9" t="str">
        <f t="shared" ca="1" si="4"/>
        <v>d</v>
      </c>
      <c r="V6" s="9" t="str">
        <f t="shared" ca="1" si="4"/>
        <v>l</v>
      </c>
      <c r="W6" s="9" t="str">
        <f t="shared" ca="1" si="4"/>
        <v>m</v>
      </c>
      <c r="X6" s="9" t="str">
        <f t="shared" ca="1" si="4"/>
        <v>m</v>
      </c>
      <c r="Y6" s="9" t="str">
        <f t="shared" ca="1" si="4"/>
        <v>j</v>
      </c>
      <c r="Z6" s="9" t="str">
        <f t="shared" ca="1" si="4"/>
        <v>v</v>
      </c>
      <c r="AA6" s="9" t="str">
        <f t="shared" ca="1" si="4"/>
        <v>s</v>
      </c>
      <c r="AB6" s="9" t="str">
        <f t="shared" ca="1" si="4"/>
        <v>d</v>
      </c>
      <c r="AC6" s="9" t="str">
        <f t="shared" ca="1" si="4"/>
        <v>l</v>
      </c>
      <c r="AD6" s="9" t="str">
        <f t="shared" ca="1" si="4"/>
        <v>m</v>
      </c>
      <c r="AE6" s="9" t="str">
        <f t="shared" ca="1" si="4"/>
        <v>m</v>
      </c>
      <c r="AF6" s="9" t="str">
        <f t="shared" ca="1" si="4"/>
        <v>j</v>
      </c>
      <c r="AG6" s="9" t="str">
        <f t="shared" ca="1" si="4"/>
        <v>v</v>
      </c>
      <c r="AH6" s="9" t="str">
        <f t="shared" ca="1" si="4"/>
        <v>s</v>
      </c>
      <c r="AI6" s="9" t="str">
        <f t="shared" ca="1" si="4"/>
        <v>d</v>
      </c>
      <c r="AJ6" s="9" t="str">
        <f t="shared" ca="1" si="4"/>
        <v>l</v>
      </c>
      <c r="AK6" s="9" t="str">
        <f t="shared" ca="1" si="4"/>
        <v>m</v>
      </c>
      <c r="AL6" s="9" t="str">
        <f t="shared" ca="1" si="4"/>
        <v>m</v>
      </c>
      <c r="AM6" s="9" t="str">
        <f t="shared" ca="1" si="4"/>
        <v>j</v>
      </c>
      <c r="AN6" s="9" t="str">
        <f t="shared" ca="1" si="4"/>
        <v>v</v>
      </c>
      <c r="AO6" s="9" t="str">
        <f t="shared" ca="1" si="4"/>
        <v>s</v>
      </c>
      <c r="AP6" s="9" t="str">
        <f t="shared" ca="1" si="4"/>
        <v>d</v>
      </c>
      <c r="AQ6" s="9" t="str">
        <f t="shared" ca="1" si="4"/>
        <v>l</v>
      </c>
      <c r="AR6" s="9" t="str">
        <f t="shared" ref="AR6:BK6" ca="1" si="5">LEFT(TEXT(AR5,"ddd"),1)</f>
        <v>m</v>
      </c>
      <c r="AS6" s="9" t="str">
        <f t="shared" ca="1" si="5"/>
        <v>m</v>
      </c>
      <c r="AT6" s="9" t="str">
        <f t="shared" ca="1" si="5"/>
        <v>j</v>
      </c>
      <c r="AU6" s="9" t="str">
        <f t="shared" ca="1" si="5"/>
        <v>v</v>
      </c>
      <c r="AV6" s="9" t="str">
        <f t="shared" ca="1" si="5"/>
        <v>s</v>
      </c>
      <c r="AW6" s="9" t="str">
        <f t="shared" ca="1" si="5"/>
        <v>d</v>
      </c>
      <c r="AX6" s="9" t="str">
        <f t="shared" ca="1" si="5"/>
        <v>l</v>
      </c>
      <c r="AY6" s="9" t="str">
        <f t="shared" ca="1" si="5"/>
        <v>m</v>
      </c>
      <c r="AZ6" s="9" t="str">
        <f t="shared" ca="1" si="5"/>
        <v>m</v>
      </c>
      <c r="BA6" s="9" t="str">
        <f t="shared" ca="1" si="5"/>
        <v>j</v>
      </c>
      <c r="BB6" s="9" t="str">
        <f t="shared" ca="1" si="5"/>
        <v>v</v>
      </c>
      <c r="BC6" s="9" t="str">
        <f t="shared" ca="1" si="5"/>
        <v>s</v>
      </c>
      <c r="BD6" s="9" t="str">
        <f t="shared" ca="1" si="5"/>
        <v>d</v>
      </c>
      <c r="BE6" s="9" t="str">
        <f t="shared" ca="1" si="5"/>
        <v>l</v>
      </c>
      <c r="BF6" s="9" t="str">
        <f t="shared" ca="1" si="5"/>
        <v>m</v>
      </c>
      <c r="BG6" s="9" t="str">
        <f t="shared" ca="1" si="5"/>
        <v>m</v>
      </c>
      <c r="BH6" s="9" t="str">
        <f t="shared" ca="1" si="5"/>
        <v>j</v>
      </c>
      <c r="BI6" s="9" t="str">
        <f t="shared" ca="1" si="5"/>
        <v>v</v>
      </c>
      <c r="BJ6" s="9" t="str">
        <f t="shared" ca="1" si="5"/>
        <v>s</v>
      </c>
      <c r="BK6" s="9" t="str">
        <f t="shared" ca="1" si="5"/>
        <v>d</v>
      </c>
    </row>
    <row r="7" spans="1:63" s="3" customFormat="1" ht="30" customHeight="1" thickBot="1" x14ac:dyDescent="0.3">
      <c r="A7" s="45" t="s">
        <v>6</v>
      </c>
      <c r="B7" s="14" t="s">
        <v>17</v>
      </c>
      <c r="C7" s="50"/>
      <c r="D7" s="15"/>
      <c r="E7" s="68"/>
      <c r="F7" s="69"/>
      <c r="G7" s="13" t="str">
        <f t="shared" ref="G7:G32" si="6">IF(OR(ISBLANK(task_start),ISBLANK(task_end)),"",task_end-task_start+1)</f>
        <v/>
      </c>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row>
    <row r="8" spans="1:63" s="3" customFormat="1" ht="30" customHeight="1" thickBot="1" x14ac:dyDescent="0.3">
      <c r="A8" s="45" t="s">
        <v>7</v>
      </c>
      <c r="B8" s="59" t="s">
        <v>18</v>
      </c>
      <c r="C8" s="51" t="s">
        <v>30</v>
      </c>
      <c r="D8" s="16">
        <v>0.5</v>
      </c>
      <c r="E8" s="82">
        <f ca="1">Inicio_del_proyecto</f>
        <v>44845</v>
      </c>
      <c r="F8" s="82">
        <f ca="1">E8+3</f>
        <v>44848</v>
      </c>
      <c r="G8" s="13">
        <f t="shared" ca="1" si="6"/>
        <v>4</v>
      </c>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row>
    <row r="9" spans="1:63" s="3" customFormat="1" ht="30" customHeight="1" thickBot="1" x14ac:dyDescent="0.3">
      <c r="A9" s="45" t="s">
        <v>8</v>
      </c>
      <c r="B9" s="59" t="s">
        <v>19</v>
      </c>
      <c r="C9" s="51"/>
      <c r="D9" s="16">
        <v>0.6</v>
      </c>
      <c r="E9" s="82">
        <f ca="1">F8</f>
        <v>44848</v>
      </c>
      <c r="F9" s="82">
        <f ca="1">E9+2</f>
        <v>44850</v>
      </c>
      <c r="G9" s="13">
        <f t="shared" ca="1" si="6"/>
        <v>3</v>
      </c>
      <c r="H9" s="30"/>
      <c r="I9" s="30"/>
      <c r="J9" s="30"/>
      <c r="K9" s="30"/>
      <c r="L9" s="30"/>
      <c r="M9" s="30"/>
      <c r="N9" s="30"/>
      <c r="O9" s="30"/>
      <c r="P9" s="30"/>
      <c r="Q9" s="30"/>
      <c r="R9" s="30"/>
      <c r="S9" s="30"/>
      <c r="T9" s="31"/>
      <c r="U9" s="31"/>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row>
    <row r="10" spans="1:63" s="3" customFormat="1" ht="30" customHeight="1" thickBot="1" x14ac:dyDescent="0.3">
      <c r="A10" s="44"/>
      <c r="B10" s="59" t="s">
        <v>20</v>
      </c>
      <c r="C10" s="51"/>
      <c r="D10" s="16">
        <v>0.5</v>
      </c>
      <c r="E10" s="82">
        <f ca="1">F9</f>
        <v>44850</v>
      </c>
      <c r="F10" s="82">
        <f ca="1">E10+4</f>
        <v>44854</v>
      </c>
      <c r="G10" s="13">
        <f t="shared" ca="1" si="6"/>
        <v>5</v>
      </c>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row>
    <row r="11" spans="1:63" s="3" customFormat="1" ht="30" customHeight="1" thickBot="1" x14ac:dyDescent="0.3">
      <c r="A11" s="44"/>
      <c r="B11" s="59" t="s">
        <v>21</v>
      </c>
      <c r="C11" s="51"/>
      <c r="D11" s="16">
        <v>0.25</v>
      </c>
      <c r="E11" s="82">
        <f ca="1">F10</f>
        <v>44854</v>
      </c>
      <c r="F11" s="82">
        <f ca="1">E11+5</f>
        <v>44859</v>
      </c>
      <c r="G11" s="13">
        <f t="shared" ca="1" si="6"/>
        <v>6</v>
      </c>
      <c r="H11" s="30"/>
      <c r="I11" s="30"/>
      <c r="J11" s="30"/>
      <c r="K11" s="30"/>
      <c r="L11" s="30"/>
      <c r="M11" s="30"/>
      <c r="N11" s="30"/>
      <c r="O11" s="30"/>
      <c r="P11" s="30"/>
      <c r="Q11" s="30"/>
      <c r="R11" s="30"/>
      <c r="S11" s="30"/>
      <c r="T11" s="30"/>
      <c r="U11" s="30"/>
      <c r="V11" s="30"/>
      <c r="W11" s="30"/>
      <c r="X11" s="31"/>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row>
    <row r="12" spans="1:63" s="3" customFormat="1" ht="30" customHeight="1" thickBot="1" x14ac:dyDescent="0.3">
      <c r="A12" s="44"/>
      <c r="B12" s="59" t="s">
        <v>22</v>
      </c>
      <c r="C12" s="51"/>
      <c r="D12" s="16"/>
      <c r="E12" s="82">
        <f ca="1">E9+1</f>
        <v>44849</v>
      </c>
      <c r="F12" s="82">
        <f ca="1">E12+2</f>
        <v>44851</v>
      </c>
      <c r="G12" s="13">
        <f t="shared" ca="1" si="6"/>
        <v>3</v>
      </c>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row>
    <row r="13" spans="1:63" s="3" customFormat="1" ht="30" customHeight="1" thickBot="1" x14ac:dyDescent="0.3">
      <c r="A13" s="45" t="s">
        <v>9</v>
      </c>
      <c r="B13" s="17" t="s">
        <v>23</v>
      </c>
      <c r="C13" s="52"/>
      <c r="D13" s="18"/>
      <c r="E13" s="70"/>
      <c r="F13" s="71"/>
      <c r="G13" s="13" t="str">
        <f t="shared" si="6"/>
        <v/>
      </c>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row>
    <row r="14" spans="1:63" s="3" customFormat="1" ht="30" customHeight="1" thickBot="1" x14ac:dyDescent="0.3">
      <c r="A14" s="45"/>
      <c r="B14" s="60" t="s">
        <v>18</v>
      </c>
      <c r="C14" s="53"/>
      <c r="D14" s="19">
        <v>0.5</v>
      </c>
      <c r="E14" s="83">
        <f ca="1">E12+1</f>
        <v>44850</v>
      </c>
      <c r="F14" s="83">
        <f ca="1">E14+4</f>
        <v>44854</v>
      </c>
      <c r="G14" s="13">
        <f t="shared" ca="1" si="6"/>
        <v>5</v>
      </c>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row>
    <row r="15" spans="1:63" s="3" customFormat="1" ht="30" customHeight="1" thickBot="1" x14ac:dyDescent="0.3">
      <c r="A15" s="44"/>
      <c r="B15" s="60" t="s">
        <v>19</v>
      </c>
      <c r="C15" s="53"/>
      <c r="D15" s="19">
        <v>0.5</v>
      </c>
      <c r="E15" s="83">
        <f ca="1">E14+2</f>
        <v>44852</v>
      </c>
      <c r="F15" s="83">
        <f ca="1">E15+5</f>
        <v>44857</v>
      </c>
      <c r="G15" s="13">
        <f t="shared" ca="1" si="6"/>
        <v>6</v>
      </c>
      <c r="H15" s="30"/>
      <c r="I15" s="30"/>
      <c r="J15" s="30"/>
      <c r="K15" s="30"/>
      <c r="L15" s="30"/>
      <c r="M15" s="30"/>
      <c r="N15" s="30"/>
      <c r="O15" s="30"/>
      <c r="P15" s="30"/>
      <c r="Q15" s="30"/>
      <c r="R15" s="30"/>
      <c r="S15" s="30"/>
      <c r="T15" s="31"/>
      <c r="U15" s="31"/>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row>
    <row r="16" spans="1:63" s="3" customFormat="1" ht="30" customHeight="1" thickBot="1" x14ac:dyDescent="0.3">
      <c r="A16" s="44"/>
      <c r="B16" s="60" t="s">
        <v>20</v>
      </c>
      <c r="C16" s="53"/>
      <c r="D16" s="19"/>
      <c r="E16" s="83">
        <f ca="1">F15</f>
        <v>44857</v>
      </c>
      <c r="F16" s="83">
        <f ca="1">E16+3</f>
        <v>44860</v>
      </c>
      <c r="G16" s="13">
        <f t="shared" ca="1" si="6"/>
        <v>4</v>
      </c>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row>
    <row r="17" spans="1:63" s="3" customFormat="1" ht="30" customHeight="1" thickBot="1" x14ac:dyDescent="0.3">
      <c r="A17" s="44"/>
      <c r="B17" s="60" t="s">
        <v>21</v>
      </c>
      <c r="C17" s="53"/>
      <c r="D17" s="19"/>
      <c r="E17" s="83">
        <f ca="1">E16</f>
        <v>44857</v>
      </c>
      <c r="F17" s="83">
        <f ca="1">E17+2</f>
        <v>44859</v>
      </c>
      <c r="G17" s="13">
        <f t="shared" ca="1" si="6"/>
        <v>3</v>
      </c>
      <c r="H17" s="30"/>
      <c r="I17" s="30"/>
      <c r="J17" s="30"/>
      <c r="K17" s="30"/>
      <c r="L17" s="30"/>
      <c r="M17" s="30"/>
      <c r="N17" s="30"/>
      <c r="O17" s="30"/>
      <c r="P17" s="30"/>
      <c r="Q17" s="30"/>
      <c r="R17" s="30"/>
      <c r="S17" s="30"/>
      <c r="T17" s="30"/>
      <c r="U17" s="30"/>
      <c r="V17" s="30"/>
      <c r="W17" s="30"/>
      <c r="X17" s="31"/>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row>
    <row r="18" spans="1:63" s="3" customFormat="1" ht="30" customHeight="1" thickBot="1" x14ac:dyDescent="0.3">
      <c r="A18" s="44"/>
      <c r="B18" s="60" t="s">
        <v>22</v>
      </c>
      <c r="C18" s="53"/>
      <c r="D18" s="19"/>
      <c r="E18" s="83">
        <f ca="1">E17</f>
        <v>44857</v>
      </c>
      <c r="F18" s="83">
        <f ca="1">E18+3</f>
        <v>44860</v>
      </c>
      <c r="G18" s="13">
        <f t="shared" ca="1" si="6"/>
        <v>4</v>
      </c>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row>
    <row r="19" spans="1:63" s="3" customFormat="1" ht="30" customHeight="1" thickBot="1" x14ac:dyDescent="0.3">
      <c r="A19" s="44" t="s">
        <v>10</v>
      </c>
      <c r="B19" s="20" t="s">
        <v>24</v>
      </c>
      <c r="C19" s="54"/>
      <c r="D19" s="21"/>
      <c r="E19" s="72"/>
      <c r="F19" s="73"/>
      <c r="G19" s="13" t="str">
        <f t="shared" si="6"/>
        <v/>
      </c>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row>
    <row r="20" spans="1:63" s="3" customFormat="1" ht="30" customHeight="1" thickBot="1" x14ac:dyDescent="0.3">
      <c r="A20" s="44"/>
      <c r="B20" s="61" t="s">
        <v>18</v>
      </c>
      <c r="C20" s="55"/>
      <c r="D20" s="22"/>
      <c r="E20" s="74">
        <f ca="1">E8+15</f>
        <v>44860</v>
      </c>
      <c r="F20" s="74">
        <f ca="1">E20+5</f>
        <v>44865</v>
      </c>
      <c r="G20" s="13">
        <f t="shared" ca="1" si="6"/>
        <v>6</v>
      </c>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row>
    <row r="21" spans="1:63" s="3" customFormat="1" ht="30" customHeight="1" thickBot="1" x14ac:dyDescent="0.3">
      <c r="A21" s="44"/>
      <c r="B21" s="61" t="s">
        <v>19</v>
      </c>
      <c r="C21" s="55"/>
      <c r="D21" s="22"/>
      <c r="E21" s="74">
        <f ca="1">F20+1</f>
        <v>44866</v>
      </c>
      <c r="F21" s="74">
        <f ca="1">E21+4</f>
        <v>44870</v>
      </c>
      <c r="G21" s="13">
        <f t="shared" ca="1" si="6"/>
        <v>5</v>
      </c>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row>
    <row r="22" spans="1:63" s="3" customFormat="1" ht="30" customHeight="1" thickBot="1" x14ac:dyDescent="0.3">
      <c r="A22" s="44"/>
      <c r="B22" s="61" t="s">
        <v>20</v>
      </c>
      <c r="C22" s="55"/>
      <c r="D22" s="22"/>
      <c r="E22" s="74">
        <f ca="1">E21+5</f>
        <v>44871</v>
      </c>
      <c r="F22" s="74">
        <f ca="1">E22+5</f>
        <v>44876</v>
      </c>
      <c r="G22" s="13">
        <f t="shared" ca="1" si="6"/>
        <v>6</v>
      </c>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row>
    <row r="23" spans="1:63" s="3" customFormat="1" ht="30" customHeight="1" thickBot="1" x14ac:dyDescent="0.3">
      <c r="A23" s="44"/>
      <c r="B23" s="61" t="s">
        <v>21</v>
      </c>
      <c r="C23" s="55"/>
      <c r="D23" s="22"/>
      <c r="E23" s="74">
        <f ca="1">F22+1</f>
        <v>44877</v>
      </c>
      <c r="F23" s="74">
        <f ca="1">E23+4</f>
        <v>44881</v>
      </c>
      <c r="G23" s="13">
        <f t="shared" ca="1" si="6"/>
        <v>5</v>
      </c>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row>
    <row r="24" spans="1:63" s="3" customFormat="1" ht="30" customHeight="1" thickBot="1" x14ac:dyDescent="0.3">
      <c r="A24" s="44"/>
      <c r="B24" s="61" t="s">
        <v>22</v>
      </c>
      <c r="C24" s="55"/>
      <c r="D24" s="22"/>
      <c r="E24" s="74">
        <f ca="1">E22</f>
        <v>44871</v>
      </c>
      <c r="F24" s="74">
        <f ca="1">E24+4</f>
        <v>44875</v>
      </c>
      <c r="G24" s="13">
        <f t="shared" ca="1" si="6"/>
        <v>5</v>
      </c>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row>
    <row r="25" spans="1:63" s="3" customFormat="1" ht="30" customHeight="1" thickBot="1" x14ac:dyDescent="0.3">
      <c r="A25" s="44" t="s">
        <v>10</v>
      </c>
      <c r="B25" s="23" t="s">
        <v>25</v>
      </c>
      <c r="C25" s="56"/>
      <c r="D25" s="24"/>
      <c r="E25" s="75"/>
      <c r="F25" s="76"/>
      <c r="G25" s="13" t="str">
        <f t="shared" si="6"/>
        <v/>
      </c>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row>
    <row r="26" spans="1:63" s="3" customFormat="1" ht="30" customHeight="1" thickBot="1" x14ac:dyDescent="0.3">
      <c r="A26" s="44"/>
      <c r="B26" s="62" t="s">
        <v>18</v>
      </c>
      <c r="C26" s="57"/>
      <c r="D26" s="25"/>
      <c r="E26" s="84" t="s">
        <v>33</v>
      </c>
      <c r="F26" s="84" t="s">
        <v>33</v>
      </c>
      <c r="G26" s="13" t="e">
        <f t="shared" si="6"/>
        <v>#VALUE!</v>
      </c>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row>
    <row r="27" spans="1:63" s="3" customFormat="1" ht="30" customHeight="1" thickBot="1" x14ac:dyDescent="0.3">
      <c r="A27" s="44"/>
      <c r="B27" s="62" t="s">
        <v>19</v>
      </c>
      <c r="C27" s="57"/>
      <c r="D27" s="25"/>
      <c r="E27" s="84" t="s">
        <v>33</v>
      </c>
      <c r="F27" s="84" t="s">
        <v>33</v>
      </c>
      <c r="G27" s="13" t="e">
        <f t="shared" si="6"/>
        <v>#VALUE!</v>
      </c>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row>
    <row r="28" spans="1:63" s="3" customFormat="1" ht="30" customHeight="1" thickBot="1" x14ac:dyDescent="0.3">
      <c r="A28" s="44"/>
      <c r="B28" s="62" t="s">
        <v>20</v>
      </c>
      <c r="C28" s="57"/>
      <c r="D28" s="25"/>
      <c r="E28" s="84" t="s">
        <v>33</v>
      </c>
      <c r="F28" s="84" t="s">
        <v>33</v>
      </c>
      <c r="G28" s="13" t="e">
        <f t="shared" si="6"/>
        <v>#VALUE!</v>
      </c>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row>
    <row r="29" spans="1:63" s="3" customFormat="1" ht="30" customHeight="1" thickBot="1" x14ac:dyDescent="0.3">
      <c r="A29" s="44"/>
      <c r="B29" s="62" t="s">
        <v>21</v>
      </c>
      <c r="C29" s="57"/>
      <c r="D29" s="25"/>
      <c r="E29" s="84" t="s">
        <v>33</v>
      </c>
      <c r="F29" s="84" t="s">
        <v>33</v>
      </c>
      <c r="G29" s="13" t="e">
        <f t="shared" si="6"/>
        <v>#VALUE!</v>
      </c>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row>
    <row r="30" spans="1:63" s="3" customFormat="1" ht="30" customHeight="1" thickBot="1" x14ac:dyDescent="0.3">
      <c r="A30" s="44"/>
      <c r="B30" s="62" t="s">
        <v>22</v>
      </c>
      <c r="C30" s="57"/>
      <c r="D30" s="25"/>
      <c r="E30" s="84" t="s">
        <v>33</v>
      </c>
      <c r="F30" s="84" t="s">
        <v>33</v>
      </c>
      <c r="G30" s="13" t="e">
        <f t="shared" si="6"/>
        <v>#VALUE!</v>
      </c>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row>
    <row r="31" spans="1:63" s="3" customFormat="1" ht="30" customHeight="1" thickBot="1" x14ac:dyDescent="0.3">
      <c r="A31" s="44" t="s">
        <v>11</v>
      </c>
      <c r="B31" s="63"/>
      <c r="C31" s="58"/>
      <c r="D31" s="12"/>
      <c r="E31" s="85"/>
      <c r="F31" s="85"/>
      <c r="G31" s="13" t="str">
        <f t="shared" si="6"/>
        <v/>
      </c>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row>
    <row r="32" spans="1:63" s="3" customFormat="1" ht="30" customHeight="1" thickBot="1" x14ac:dyDescent="0.3">
      <c r="A32" s="45" t="s">
        <v>12</v>
      </c>
      <c r="B32" s="26" t="s">
        <v>26</v>
      </c>
      <c r="C32" s="27"/>
      <c r="D32" s="28"/>
      <c r="E32" s="77"/>
      <c r="F32" s="78"/>
      <c r="G32" s="29" t="str">
        <f t="shared" si="6"/>
        <v/>
      </c>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row>
    <row r="34" spans="3:6" ht="30" customHeight="1" x14ac:dyDescent="0.25">
      <c r="C34" s="10"/>
      <c r="F34" s="46"/>
    </row>
    <row r="35" spans="3:6" ht="30" customHeight="1" x14ac:dyDescent="0.25">
      <c r="C35" s="11"/>
    </row>
  </sheetData>
  <mergeCells count="12">
    <mergeCell ref="AB1:BD1"/>
    <mergeCell ref="C3:D3"/>
    <mergeCell ref="C4:D4"/>
    <mergeCell ref="AJ4:AP4"/>
    <mergeCell ref="AQ4:AW4"/>
    <mergeCell ref="AX4:BD4"/>
    <mergeCell ref="BE4:BK4"/>
    <mergeCell ref="E3:F3"/>
    <mergeCell ref="H4:N4"/>
    <mergeCell ref="O4:U4"/>
    <mergeCell ref="V4:AB4"/>
    <mergeCell ref="AC4:AI4"/>
  </mergeCells>
  <conditionalFormatting sqref="D7:D32">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H5:BK32">
    <cfRule type="expression" dxfId="2" priority="33">
      <formula>AND(TODAY()&gt;=H$5,TODAY()&lt;I$5)</formula>
    </cfRule>
  </conditionalFormatting>
  <conditionalFormatting sqref="H7:BK32">
    <cfRule type="expression" dxfId="1" priority="27">
      <formula>AND(task_start&lt;=H$5,ROUNDDOWN((task_end-task_start+1)*task_progress,0)+task_start-1&gt;=H$5)</formula>
    </cfRule>
    <cfRule type="expression" dxfId="0" priority="28" stopIfTrue="1">
      <formula>AND(task_end&gt;=H$5,task_start&lt;I$5)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hyperlinks>
    <hyperlink ref="H2" r:id="rId1" xr:uid="{00000000-0004-0000-0000-000000000000}"/>
    <hyperlink ref="H1" r:id="rId2" xr:uid="{00000000-0004-0000-0000-000001000000}"/>
  </hyperlinks>
  <printOptions horizontalCentered="1"/>
  <pageMargins left="0.35" right="0.35" top="0.35" bottom="0.5" header="0.3" footer="0.3"/>
  <pageSetup paperSize="9" scale="50" fitToHeight="0" orientation="landscape" r:id="rId3"/>
  <headerFooter differentFirst="1" scaleWithDoc="0">
    <oddFooter>Page &amp;P of &amp;N</oddFooter>
  </headerFooter>
  <ignoredErrors>
    <ignoredError sqref="F17 F21:F22 E22"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40625" defaultRowHeight="12.75" x14ac:dyDescent="0.2"/>
  <cols>
    <col min="1" max="1" width="87.140625" style="34" customWidth="1"/>
    <col min="2" max="16384" width="9.140625" style="2"/>
  </cols>
  <sheetData>
    <row r="1" spans="1:2" ht="46.5" customHeight="1" x14ac:dyDescent="0.2"/>
    <row r="2" spans="1:2" s="36" customFormat="1" ht="15.75" x14ac:dyDescent="0.25">
      <c r="A2" s="35" t="s">
        <v>36</v>
      </c>
      <c r="B2" s="35"/>
    </row>
    <row r="3" spans="1:2" s="40" customFormat="1" ht="27" customHeight="1" x14ac:dyDescent="0.25">
      <c r="A3" s="67" t="s">
        <v>37</v>
      </c>
      <c r="B3" s="41"/>
    </row>
    <row r="4" spans="1:2" s="37" customFormat="1" ht="26.25" x14ac:dyDescent="0.4">
      <c r="A4" s="38" t="s">
        <v>38</v>
      </c>
    </row>
    <row r="5" spans="1:2" ht="74.099999999999994" customHeight="1" x14ac:dyDescent="0.2">
      <c r="A5" s="39" t="s">
        <v>39</v>
      </c>
    </row>
    <row r="6" spans="1:2" ht="26.25" customHeight="1" x14ac:dyDescent="0.2">
      <c r="A6" s="38" t="s">
        <v>40</v>
      </c>
    </row>
    <row r="7" spans="1:2" s="34" customFormat="1" ht="215.25" customHeight="1" x14ac:dyDescent="0.25">
      <c r="A7" s="43" t="s">
        <v>41</v>
      </c>
    </row>
    <row r="8" spans="1:2" s="37" customFormat="1" ht="26.25" x14ac:dyDescent="0.4">
      <c r="A8" s="38" t="s">
        <v>42</v>
      </c>
    </row>
    <row r="9" spans="1:2" ht="75" x14ac:dyDescent="0.2">
      <c r="A9" s="39" t="s">
        <v>43</v>
      </c>
    </row>
    <row r="10" spans="1:2" s="34" customFormat="1" ht="27.95" customHeight="1" x14ac:dyDescent="0.25">
      <c r="A10" s="42" t="s">
        <v>44</v>
      </c>
    </row>
    <row r="11" spans="1:2" s="37" customFormat="1" ht="26.25" x14ac:dyDescent="0.4">
      <c r="A11" s="38" t="s">
        <v>45</v>
      </c>
    </row>
    <row r="12" spans="1:2" ht="30" x14ac:dyDescent="0.2">
      <c r="A12" s="39" t="s">
        <v>46</v>
      </c>
    </row>
    <row r="13" spans="1:2" s="34" customFormat="1" ht="27.95" customHeight="1" x14ac:dyDescent="0.25">
      <c r="A13" s="42" t="s">
        <v>47</v>
      </c>
    </row>
    <row r="14" spans="1:2" s="37" customFormat="1" ht="26.25" x14ac:dyDescent="0.4">
      <c r="A14" s="38" t="s">
        <v>48</v>
      </c>
    </row>
    <row r="15" spans="1:2" ht="96.75" customHeight="1" x14ac:dyDescent="0.2">
      <c r="A15" s="39" t="s">
        <v>49</v>
      </c>
    </row>
    <row r="16" spans="1:2" ht="90" x14ac:dyDescent="0.2">
      <c r="A16" s="39" t="s">
        <v>50</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ProjectSchedule</vt:lpstr>
      <vt:lpstr>Acerca de</vt:lpstr>
      <vt:lpstr>Inicio_del_proyecto</vt:lpstr>
      <vt:lpstr>Semana_para_mostrar</vt:lpstr>
      <vt:lpstr>ProjectSchedule!task_end</vt:lpstr>
      <vt:lpstr>ProjectSchedule!task_progress</vt:lpstr>
      <vt:lpstr>ProjectSchedule!task_start</vt:lpstr>
      <vt:lpstr>ProjectSchedule!Títulos_a_imprimir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2022-10-11T03:20:40Z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